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1F06D57-4E4E-4CBC-A826-10B6638DF7C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3" r:id="rId1"/>
  </sheets>
  <definedNames>
    <definedName name="Tripura" localSheetId="0">Sheet2!$A$1:$O$56</definedName>
  </definedNames>
  <calcPr calcId="181029"/>
</workbook>
</file>

<file path=xl/calcChain.xml><?xml version="1.0" encoding="utf-8"?>
<calcChain xmlns="http://schemas.openxmlformats.org/spreadsheetml/2006/main">
  <c r="H2" i="3" l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362C14-9044-4828-97DF-1EB5E22C29BC}" name="Tripura1" type="6" refreshedVersion="8" background="1" saveData="1">
    <textPr sourceFile="C:\Users\ADMIN\Downloads\Tripura.csv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<sst xmlns="http://schemas.openxmlformats.org/spreadsheetml/2006/main" count="719" uniqueCount="117">
  <si>
    <t>University Name</t>
  </si>
  <si>
    <t>Category</t>
  </si>
  <si>
    <t>Location</t>
  </si>
  <si>
    <t>Zip Code</t>
  </si>
  <si>
    <t>State</t>
  </si>
  <si>
    <t>Official Website</t>
  </si>
  <si>
    <t>Contact Email</t>
  </si>
  <si>
    <t>Phone</t>
  </si>
  <si>
    <t>Accreditation / Affiliation</t>
  </si>
  <si>
    <t>Course Name</t>
  </si>
  <si>
    <t>Level</t>
  </si>
  <si>
    <t>Duration</t>
  </si>
  <si>
    <t>Fees Structure</t>
  </si>
  <si>
    <t>Entrance Exam</t>
  </si>
  <si>
    <t>Seat Intake</t>
  </si>
  <si>
    <t>UG</t>
  </si>
  <si>
    <t>4 Years</t>
  </si>
  <si>
    <t>Not Available</t>
  </si>
  <si>
    <t>3 Years</t>
  </si>
  <si>
    <t>PG</t>
  </si>
  <si>
    <t>2 Years</t>
  </si>
  <si>
    <t>1 Year</t>
  </si>
  <si>
    <t>PhD</t>
  </si>
  <si>
    <t>PG Diploma</t>
  </si>
  <si>
    <t>Private</t>
  </si>
  <si>
    <t>Merit-based</t>
  </si>
  <si>
    <t>PG Diploma in Computer Applications (PGDCA)</t>
  </si>
  <si>
    <t>B.Tech in Computer Science &amp; Engineering</t>
  </si>
  <si>
    <t>UGC 2(f)</t>
  </si>
  <si>
    <t>Diploma</t>
  </si>
  <si>
    <t>ICFAI University</t>
  </si>
  <si>
    <t>6th Mile, Sovima Village, Kohima Road, Dimapur</t>
  </si>
  <si>
    <t>Nagaland</t>
  </si>
  <si>
    <t>https://www.iunagaland.edu.in/</t>
  </si>
  <si>
    <t>admissions@iunagaland.edu.in</t>
  </si>
  <si>
    <t>UGC 2(f), AIU</t>
  </si>
  <si>
    <t>â‚¹1,73,000 per year</t>
  </si>
  <si>
    <t>JEE Main / Merit</t>
  </si>
  <si>
    <t>B.Tech in Electronics &amp; Communication Engineering</t>
  </si>
  <si>
    <t>BBA</t>
  </si>
  <si>
    <t>â‚¹72,000 per year</t>
  </si>
  <si>
    <t>BCA</t>
  </si>
  <si>
    <t>B.Com</t>
  </si>
  <si>
    <t>â‚¹52,000 per year</t>
  </si>
  <si>
    <t>BA in English/Economics/Sociology/Political Science/History</t>
  </si>
  <si>
    <t>â‚¹42,000 per year</t>
  </si>
  <si>
    <t>MBA</t>
  </si>
  <si>
    <t>â‚¹1,00,000 per year</t>
  </si>
  <si>
    <t>MAT/CAT/CMAT</t>
  </si>
  <si>
    <t>MCA</t>
  </si>
  <si>
    <t>MA in English/Economics</t>
  </si>
  <si>
    <t>â‚¹44,000 per year</t>
  </si>
  <si>
    <t>M.Com</t>
  </si>
  <si>
    <t>PhD in Management/Commerce/English/Economics/Computer Science</t>
  </si>
  <si>
    <t>3-5 Years</t>
  </si>
  <si>
    <t>Research Entrance Test (RET)</t>
  </si>
  <si>
    <t>North East Christian University</t>
  </si>
  <si>
    <t>Anchor Complex, East Block, Burma Camp, Post Box-109, Dimapur</t>
  </si>
  <si>
    <t>https://www.necu.ac.in/</t>
  </si>
  <si>
    <t>info@necu.ac.in</t>
  </si>
  <si>
    <t>â‚¹1,32,000 per year</t>
  </si>
  <si>
    <t>JEE Main / NECU CET</t>
  </si>
  <si>
    <t>B.Tech in Civil Engineering</t>
  </si>
  <si>
    <t>â‚¹62,000 per year</t>
  </si>
  <si>
    <t>â‚¹48,000 per year</t>
  </si>
  <si>
    <t>BA in English/Economics/Sociology/Political Science/History/Education</t>
  </si>
  <si>
    <t>B.Sc in Mathematics/Physics/Chemistry/Botany/Zoology</t>
  </si>
  <si>
    <t>â‚¹1,10,000 per year</t>
  </si>
  <si>
    <t>CAT/MAT/NECU CET</t>
  </si>
  <si>
    <t>â‚¹68,000 per year</t>
  </si>
  <si>
    <t>MA in English/Economics/Sociology/Political Science/History</t>
  </si>
  <si>
    <t>M.Sc in Mathematics/Physics/Chemistry/Botany/Zoology</t>
  </si>
  <si>
    <t>â‚¹56,000 per year</t>
  </si>
  <si>
    <t>â‚¹25,000 (Total)</t>
  </si>
  <si>
    <t>PhD in Management/Commerce/English/Economics/Computer Science/Physics/Chemistry/Botany/Zoology</t>
  </si>
  <si>
    <t>UGC NET / RET</t>
  </si>
  <si>
    <t>St. Joseph University</t>
  </si>
  <si>
    <t>Virgin Town, Khekiho-Zhimomi Road, Ikishe Model Village, PS- Diphupar, Dimapur</t>
  </si>
  <si>
    <t>https://www.sju.edu.in/</t>
  </si>
  <si>
    <t>info@sju.edu.in</t>
  </si>
  <si>
    <t>UGC 2(f), NAAC B+</t>
  </si>
  <si>
    <t>BA in English/Economics/Sociology/Political Science/History/Education/Psychology</t>
  </si>
  <si>
    <t>â‚¹46,000 per year</t>
  </si>
  <si>
    <t>B.Sc in Mathematics/Physics/Chemistry/Botany/Zoology/Computer Science</t>
  </si>
  <si>
    <t>BSW (Bachelor of Social Work)</t>
  </si>
  <si>
    <t>B.Lib.I.Sc (Bachelor of Library &amp; Information Science)</t>
  </si>
  <si>
    <t>â‚¹32,000 (Total)</t>
  </si>
  <si>
    <t>â‚¹1,20,000 per year</t>
  </si>
  <si>
    <t>CAT/MAT/CMAT</t>
  </si>
  <si>
    <t>â‚¹78,000 per year</t>
  </si>
  <si>
    <t>MA in English/Economics/Sociology/Political Science/History/Education</t>
  </si>
  <si>
    <t>M.Sc in Mathematics/Physics/Chemistry/Botany/Zoology/Computer Science</t>
  </si>
  <si>
    <t>MSW (Master of Social Work)</t>
  </si>
  <si>
    <t>M.Lib.I.Sc (Master of Library &amp; Information Science)</t>
  </si>
  <si>
    <t>â‚¹36,000 (Total)</t>
  </si>
  <si>
    <t>â‚¹28,000 (Total)</t>
  </si>
  <si>
    <t>PG Diploma in Guidance &amp; Counselling</t>
  </si>
  <si>
    <t>Diploma in Computer Applications (DCA)</t>
  </si>
  <si>
    <t>â‚¹18,000 (Total)</t>
  </si>
  <si>
    <t>PhD in Management/Commerce/English/Economics/History/Education/Physics/Chemistry/Maths/Botany/Zoology</t>
  </si>
  <si>
    <t>â‚¹60,000 per year</t>
  </si>
  <si>
    <t>The Global Open University</t>
  </si>
  <si>
    <t>Sodzulhou Village, PO-ARTC, NH-29, Dimapur</t>
  </si>
  <si>
    <t>https://www.nagaland.net.in/</t>
  </si>
  <si>
    <t>info@nagaland.net.in</t>
  </si>
  <si>
    <t>UGC 2(f), Distance Education Bureau (DEB)</t>
  </si>
  <si>
    <t>â‚¹15,000 per year</t>
  </si>
  <si>
    <t>â‚¹18,000 per year</t>
  </si>
  <si>
    <t>â‚¹20,000 per year</t>
  </si>
  <si>
    <t>â‚¹35,000 per year</t>
  </si>
  <si>
    <t>â‚¹25,000 per year</t>
  </si>
  <si>
    <t>PG Diploma in Business Management (PGDBM)</t>
  </si>
  <si>
    <t>â‚¹10,000 (Total)</t>
  </si>
  <si>
    <t>Certificate in Computer Applications (CCA)</t>
  </si>
  <si>
    <t>Certificate</t>
  </si>
  <si>
    <t>6 Months</t>
  </si>
  <si>
    <t>â‚¹6,000 (Total)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</si>
</sst>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ipura" connectionId="1" xr16:uid="{CF280729-9AD6-441E-86E0-A0C65BCE8FA9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EFA78-98C2-46E2-8FB8-E532A8AA6A3E}">
  <dimension ref="A1:O56"/>
  <sheetViews>
    <sheetView tabSelected="1" workbookViewId="0">
      <selection activeCell="C8" sqref="C8"/>
    </sheetView>
  </sheetViews>
  <sheetFormatPr defaultRowHeight="14.4" x14ac:dyDescent="0.3"/>
  <cols>
    <col min="1" max="1" width="26.21875" bestFit="1" customWidth="1"/>
    <col min="2" max="2" width="8.33203125" bestFit="1" customWidth="1"/>
    <col min="3" max="3" width="67.77734375" bestFit="1" customWidth="1"/>
    <col min="4" max="4" width="8" bestFit="1" customWidth="1"/>
    <col min="5" max="5" width="8.6640625" bestFit="1" customWidth="1"/>
    <col min="6" max="6" width="27.6640625" bestFit="1" customWidth="1"/>
    <col min="7" max="7" width="26.44140625" bestFit="1" customWidth="1"/>
    <col min="8" max="8" width="7.6640625" bestFit="1" customWidth="1"/>
    <col min="9" max="9" width="36.109375" bestFit="1" customWidth="1"/>
    <col min="10" max="10" width="80.88671875" bestFit="1" customWidth="1"/>
    <col min="11" max="11" width="10.44140625" bestFit="1" customWidth="1"/>
    <col min="12" max="12" width="8.6640625" bestFit="1" customWidth="1"/>
    <col min="13" max="13" width="17" bestFit="1" customWidth="1"/>
    <col min="14" max="14" width="25" bestFit="1" customWidth="1"/>
    <col min="15" max="15" width="11.88671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30</v>
      </c>
      <c r="B2" t="s">
        <v>24</v>
      </c>
      <c r="C2" t="s">
        <v>31</v>
      </c>
      <c r="D2">
        <v>797112</v>
      </c>
      <c r="E2" t="s">
        <v>32</v>
      </c>
      <c r="F2" t="s">
        <v>33</v>
      </c>
      <c r="G2" t="s">
        <v>34</v>
      </c>
      <c r="H2">
        <f>91-3862-247104</f>
        <v>-250875</v>
      </c>
      <c r="I2" t="s">
        <v>35</v>
      </c>
      <c r="J2" t="s">
        <v>27</v>
      </c>
      <c r="K2" t="s">
        <v>15</v>
      </c>
      <c r="L2" t="s">
        <v>16</v>
      </c>
      <c r="M2" t="s">
        <v>36</v>
      </c>
      <c r="N2" t="s">
        <v>37</v>
      </c>
      <c r="O2">
        <v>60</v>
      </c>
    </row>
    <row r="3" spans="1:15" x14ac:dyDescent="0.3">
      <c r="A3" t="s">
        <v>30</v>
      </c>
      <c r="B3" t="s">
        <v>24</v>
      </c>
      <c r="C3" t="s">
        <v>31</v>
      </c>
      <c r="D3">
        <v>797112</v>
      </c>
      <c r="E3" t="s">
        <v>32</v>
      </c>
      <c r="F3" t="s">
        <v>33</v>
      </c>
      <c r="G3" t="s">
        <v>34</v>
      </c>
      <c r="H3">
        <f>91-3862-247104</f>
        <v>-250875</v>
      </c>
      <c r="I3" t="s">
        <v>35</v>
      </c>
      <c r="J3" t="s">
        <v>38</v>
      </c>
      <c r="K3" t="s">
        <v>15</v>
      </c>
      <c r="L3" t="s">
        <v>16</v>
      </c>
      <c r="M3" t="s">
        <v>36</v>
      </c>
      <c r="N3" t="s">
        <v>37</v>
      </c>
      <c r="O3">
        <v>60</v>
      </c>
    </row>
    <row r="4" spans="1:15" x14ac:dyDescent="0.3">
      <c r="A4" t="s">
        <v>30</v>
      </c>
      <c r="B4" t="s">
        <v>24</v>
      </c>
      <c r="C4" t="s">
        <v>31</v>
      </c>
      <c r="D4">
        <v>797112</v>
      </c>
      <c r="E4" t="s">
        <v>32</v>
      </c>
      <c r="F4" t="s">
        <v>33</v>
      </c>
      <c r="G4" t="s">
        <v>34</v>
      </c>
      <c r="H4">
        <f>91-3862-247104</f>
        <v>-250875</v>
      </c>
      <c r="I4" t="s">
        <v>35</v>
      </c>
      <c r="J4" t="s">
        <v>39</v>
      </c>
      <c r="K4" t="s">
        <v>15</v>
      </c>
      <c r="L4" t="s">
        <v>18</v>
      </c>
      <c r="M4" t="s">
        <v>40</v>
      </c>
      <c r="N4" t="s">
        <v>25</v>
      </c>
      <c r="O4" t="s">
        <v>17</v>
      </c>
    </row>
    <row r="5" spans="1:15" x14ac:dyDescent="0.3">
      <c r="A5" t="s">
        <v>30</v>
      </c>
      <c r="B5" t="s">
        <v>24</v>
      </c>
      <c r="C5" t="s">
        <v>31</v>
      </c>
      <c r="D5">
        <v>797112</v>
      </c>
      <c r="E5" t="s">
        <v>32</v>
      </c>
      <c r="F5" t="s">
        <v>33</v>
      </c>
      <c r="G5" t="s">
        <v>34</v>
      </c>
      <c r="H5">
        <f>91-3862-247104</f>
        <v>-250875</v>
      </c>
      <c r="I5" t="s">
        <v>35</v>
      </c>
      <c r="J5" t="s">
        <v>41</v>
      </c>
      <c r="K5" t="s">
        <v>15</v>
      </c>
      <c r="L5" t="s">
        <v>18</v>
      </c>
      <c r="M5" t="s">
        <v>40</v>
      </c>
      <c r="N5" t="s">
        <v>25</v>
      </c>
      <c r="O5" t="s">
        <v>17</v>
      </c>
    </row>
    <row r="6" spans="1:15" x14ac:dyDescent="0.3">
      <c r="A6" t="s">
        <v>30</v>
      </c>
      <c r="B6" t="s">
        <v>24</v>
      </c>
      <c r="C6" t="s">
        <v>31</v>
      </c>
      <c r="D6">
        <v>797112</v>
      </c>
      <c r="E6" t="s">
        <v>32</v>
      </c>
      <c r="F6" t="s">
        <v>33</v>
      </c>
      <c r="G6" t="s">
        <v>34</v>
      </c>
      <c r="H6">
        <f>91-3862-247104</f>
        <v>-250875</v>
      </c>
      <c r="I6" t="s">
        <v>35</v>
      </c>
      <c r="J6" t="s">
        <v>42</v>
      </c>
      <c r="K6" t="s">
        <v>15</v>
      </c>
      <c r="L6" t="s">
        <v>18</v>
      </c>
      <c r="M6" t="s">
        <v>43</v>
      </c>
      <c r="N6" t="s">
        <v>25</v>
      </c>
      <c r="O6" t="s">
        <v>17</v>
      </c>
    </row>
    <row r="7" spans="1:15" x14ac:dyDescent="0.3">
      <c r="A7" t="s">
        <v>30</v>
      </c>
      <c r="B7" t="s">
        <v>24</v>
      </c>
      <c r="C7" t="s">
        <v>31</v>
      </c>
      <c r="D7">
        <v>797112</v>
      </c>
      <c r="E7" t="s">
        <v>32</v>
      </c>
      <c r="F7" t="s">
        <v>33</v>
      </c>
      <c r="G7" t="s">
        <v>34</v>
      </c>
      <c r="H7">
        <f>91-3862-247104</f>
        <v>-250875</v>
      </c>
      <c r="I7" t="s">
        <v>35</v>
      </c>
      <c r="J7" t="s">
        <v>44</v>
      </c>
      <c r="K7" t="s">
        <v>15</v>
      </c>
      <c r="L7" t="s">
        <v>18</v>
      </c>
      <c r="M7" t="s">
        <v>45</v>
      </c>
      <c r="N7" t="s">
        <v>25</v>
      </c>
      <c r="O7" t="s">
        <v>17</v>
      </c>
    </row>
    <row r="8" spans="1:15" x14ac:dyDescent="0.3">
      <c r="A8" t="s">
        <v>30</v>
      </c>
      <c r="B8" t="s">
        <v>24</v>
      </c>
      <c r="C8" t="s">
        <v>31</v>
      </c>
      <c r="D8">
        <v>797112</v>
      </c>
      <c r="E8" t="s">
        <v>32</v>
      </c>
      <c r="F8" t="s">
        <v>33</v>
      </c>
      <c r="G8" t="s">
        <v>34</v>
      </c>
      <c r="H8">
        <f>91-3862-247104</f>
        <v>-250875</v>
      </c>
      <c r="I8" t="s">
        <v>35</v>
      </c>
      <c r="J8" t="s">
        <v>46</v>
      </c>
      <c r="K8" t="s">
        <v>19</v>
      </c>
      <c r="L8" t="s">
        <v>20</v>
      </c>
      <c r="M8" t="s">
        <v>47</v>
      </c>
      <c r="N8" t="s">
        <v>48</v>
      </c>
      <c r="O8">
        <v>60</v>
      </c>
    </row>
    <row r="9" spans="1:15" x14ac:dyDescent="0.3">
      <c r="A9" t="s">
        <v>30</v>
      </c>
      <c r="B9" t="s">
        <v>24</v>
      </c>
      <c r="C9" t="s">
        <v>31</v>
      </c>
      <c r="D9">
        <v>797112</v>
      </c>
      <c r="E9" t="s">
        <v>32</v>
      </c>
      <c r="F9" t="s">
        <v>33</v>
      </c>
      <c r="G9" t="s">
        <v>34</v>
      </c>
      <c r="H9">
        <f>91-3862-247104</f>
        <v>-250875</v>
      </c>
      <c r="I9" t="s">
        <v>35</v>
      </c>
      <c r="J9" t="s">
        <v>49</v>
      </c>
      <c r="K9" t="s">
        <v>19</v>
      </c>
      <c r="L9" t="s">
        <v>20</v>
      </c>
      <c r="M9" t="s">
        <v>40</v>
      </c>
      <c r="N9" t="s">
        <v>25</v>
      </c>
      <c r="O9" t="s">
        <v>17</v>
      </c>
    </row>
    <row r="10" spans="1:15" x14ac:dyDescent="0.3">
      <c r="A10" t="s">
        <v>30</v>
      </c>
      <c r="B10" t="s">
        <v>24</v>
      </c>
      <c r="C10" t="s">
        <v>31</v>
      </c>
      <c r="D10">
        <v>797112</v>
      </c>
      <c r="E10" t="s">
        <v>32</v>
      </c>
      <c r="F10" t="s">
        <v>33</v>
      </c>
      <c r="G10" t="s">
        <v>34</v>
      </c>
      <c r="H10">
        <f>91-3862-247104</f>
        <v>-250875</v>
      </c>
      <c r="I10" t="s">
        <v>35</v>
      </c>
      <c r="J10" t="s">
        <v>50</v>
      </c>
      <c r="K10" t="s">
        <v>19</v>
      </c>
      <c r="L10" t="s">
        <v>20</v>
      </c>
      <c r="M10" t="s">
        <v>51</v>
      </c>
      <c r="N10" t="s">
        <v>25</v>
      </c>
      <c r="O10" t="s">
        <v>17</v>
      </c>
    </row>
    <row r="11" spans="1:15" x14ac:dyDescent="0.3">
      <c r="A11" t="s">
        <v>30</v>
      </c>
      <c r="B11" t="s">
        <v>24</v>
      </c>
      <c r="C11" t="s">
        <v>31</v>
      </c>
      <c r="D11">
        <v>797112</v>
      </c>
      <c r="E11" t="s">
        <v>32</v>
      </c>
      <c r="F11" t="s">
        <v>33</v>
      </c>
      <c r="G11" t="s">
        <v>34</v>
      </c>
      <c r="H11">
        <f>91-3862-247104</f>
        <v>-250875</v>
      </c>
      <c r="I11" t="s">
        <v>35</v>
      </c>
      <c r="J11" t="s">
        <v>52</v>
      </c>
      <c r="K11" t="s">
        <v>19</v>
      </c>
      <c r="L11" t="s">
        <v>20</v>
      </c>
      <c r="M11" t="s">
        <v>51</v>
      </c>
      <c r="N11" t="s">
        <v>25</v>
      </c>
      <c r="O11" t="s">
        <v>17</v>
      </c>
    </row>
    <row r="12" spans="1:15" x14ac:dyDescent="0.3">
      <c r="A12" t="s">
        <v>30</v>
      </c>
      <c r="B12" t="s">
        <v>24</v>
      </c>
      <c r="C12" t="s">
        <v>31</v>
      </c>
      <c r="D12">
        <v>797112</v>
      </c>
      <c r="E12" t="s">
        <v>32</v>
      </c>
      <c r="F12" t="s">
        <v>33</v>
      </c>
      <c r="G12" t="s">
        <v>34</v>
      </c>
      <c r="H12">
        <f>91-3862-247104</f>
        <v>-250875</v>
      </c>
      <c r="I12" t="s">
        <v>35</v>
      </c>
      <c r="J12" t="s">
        <v>53</v>
      </c>
      <c r="K12" t="s">
        <v>22</v>
      </c>
      <c r="L12" t="s">
        <v>54</v>
      </c>
      <c r="M12" t="s">
        <v>17</v>
      </c>
      <c r="N12" t="s">
        <v>55</v>
      </c>
      <c r="O12" t="s">
        <v>17</v>
      </c>
    </row>
    <row r="13" spans="1:15" x14ac:dyDescent="0.3">
      <c r="A13" t="s">
        <v>56</v>
      </c>
      <c r="B13" t="s">
        <v>24</v>
      </c>
      <c r="C13" t="s">
        <v>57</v>
      </c>
      <c r="D13">
        <v>797112</v>
      </c>
      <c r="E13" t="s">
        <v>32</v>
      </c>
      <c r="F13" t="s">
        <v>58</v>
      </c>
      <c r="G13" t="s">
        <v>59</v>
      </c>
      <c r="H13">
        <f>91-3862-248181</f>
        <v>-251952</v>
      </c>
      <c r="I13" t="s">
        <v>28</v>
      </c>
      <c r="J13" t="s">
        <v>27</v>
      </c>
      <c r="K13" t="s">
        <v>15</v>
      </c>
      <c r="L13" t="s">
        <v>16</v>
      </c>
      <c r="M13" t="s">
        <v>60</v>
      </c>
      <c r="N13" t="s">
        <v>61</v>
      </c>
      <c r="O13">
        <v>60</v>
      </c>
    </row>
    <row r="14" spans="1:15" x14ac:dyDescent="0.3">
      <c r="A14" t="s">
        <v>56</v>
      </c>
      <c r="B14" t="s">
        <v>24</v>
      </c>
      <c r="C14" t="s">
        <v>57</v>
      </c>
      <c r="D14">
        <v>797112</v>
      </c>
      <c r="E14" t="s">
        <v>32</v>
      </c>
      <c r="F14" t="s">
        <v>58</v>
      </c>
      <c r="G14" t="s">
        <v>59</v>
      </c>
      <c r="H14">
        <f>91-3862-248181</f>
        <v>-251952</v>
      </c>
      <c r="I14" t="s">
        <v>28</v>
      </c>
      <c r="J14" t="s">
        <v>62</v>
      </c>
      <c r="K14" t="s">
        <v>15</v>
      </c>
      <c r="L14" t="s">
        <v>16</v>
      </c>
      <c r="M14" t="s">
        <v>60</v>
      </c>
      <c r="N14" t="s">
        <v>61</v>
      </c>
      <c r="O14">
        <v>60</v>
      </c>
    </row>
    <row r="15" spans="1:15" x14ac:dyDescent="0.3">
      <c r="A15" t="s">
        <v>56</v>
      </c>
      <c r="B15" t="s">
        <v>24</v>
      </c>
      <c r="C15" t="s">
        <v>57</v>
      </c>
      <c r="D15">
        <v>797112</v>
      </c>
      <c r="E15" t="s">
        <v>32</v>
      </c>
      <c r="F15" t="s">
        <v>58</v>
      </c>
      <c r="G15" t="s">
        <v>59</v>
      </c>
      <c r="H15">
        <f>91-3862-248181</f>
        <v>-251952</v>
      </c>
      <c r="I15" t="s">
        <v>28</v>
      </c>
      <c r="J15" t="s">
        <v>39</v>
      </c>
      <c r="K15" t="s">
        <v>15</v>
      </c>
      <c r="L15" t="s">
        <v>18</v>
      </c>
      <c r="M15" t="s">
        <v>63</v>
      </c>
      <c r="N15" t="s">
        <v>25</v>
      </c>
      <c r="O15">
        <v>60</v>
      </c>
    </row>
    <row r="16" spans="1:15" x14ac:dyDescent="0.3">
      <c r="A16" t="s">
        <v>56</v>
      </c>
      <c r="B16" t="s">
        <v>24</v>
      </c>
      <c r="C16" t="s">
        <v>57</v>
      </c>
      <c r="D16">
        <v>797112</v>
      </c>
      <c r="E16" t="s">
        <v>32</v>
      </c>
      <c r="F16" t="s">
        <v>58</v>
      </c>
      <c r="G16" t="s">
        <v>59</v>
      </c>
      <c r="H16">
        <f>91-3862-248181</f>
        <v>-251952</v>
      </c>
      <c r="I16" t="s">
        <v>28</v>
      </c>
      <c r="J16" t="s">
        <v>41</v>
      </c>
      <c r="K16" t="s">
        <v>15</v>
      </c>
      <c r="L16" t="s">
        <v>18</v>
      </c>
      <c r="M16" t="s">
        <v>63</v>
      </c>
      <c r="N16" t="s">
        <v>25</v>
      </c>
      <c r="O16">
        <v>60</v>
      </c>
    </row>
    <row r="17" spans="1:15" x14ac:dyDescent="0.3">
      <c r="A17" t="s">
        <v>56</v>
      </c>
      <c r="B17" t="s">
        <v>24</v>
      </c>
      <c r="C17" t="s">
        <v>57</v>
      </c>
      <c r="D17">
        <v>797112</v>
      </c>
      <c r="E17" t="s">
        <v>32</v>
      </c>
      <c r="F17" t="s">
        <v>58</v>
      </c>
      <c r="G17" t="s">
        <v>59</v>
      </c>
      <c r="H17">
        <f>91-3862-248181</f>
        <v>-251952</v>
      </c>
      <c r="I17" t="s">
        <v>28</v>
      </c>
      <c r="J17" t="s">
        <v>42</v>
      </c>
      <c r="K17" t="s">
        <v>15</v>
      </c>
      <c r="L17" t="s">
        <v>18</v>
      </c>
      <c r="M17" t="s">
        <v>64</v>
      </c>
      <c r="N17" t="s">
        <v>25</v>
      </c>
      <c r="O17" t="s">
        <v>17</v>
      </c>
    </row>
    <row r="18" spans="1:15" x14ac:dyDescent="0.3">
      <c r="A18" t="s">
        <v>56</v>
      </c>
      <c r="B18" t="s">
        <v>24</v>
      </c>
      <c r="C18" t="s">
        <v>57</v>
      </c>
      <c r="D18">
        <v>797112</v>
      </c>
      <c r="E18" t="s">
        <v>32</v>
      </c>
      <c r="F18" t="s">
        <v>58</v>
      </c>
      <c r="G18" t="s">
        <v>59</v>
      </c>
      <c r="H18">
        <f>91-3862-248181</f>
        <v>-251952</v>
      </c>
      <c r="I18" t="s">
        <v>28</v>
      </c>
      <c r="J18" t="s">
        <v>65</v>
      </c>
      <c r="K18" t="s">
        <v>15</v>
      </c>
      <c r="L18" t="s">
        <v>18</v>
      </c>
      <c r="M18" t="s">
        <v>45</v>
      </c>
      <c r="N18" t="s">
        <v>25</v>
      </c>
      <c r="O18" t="s">
        <v>17</v>
      </c>
    </row>
    <row r="19" spans="1:15" x14ac:dyDescent="0.3">
      <c r="A19" t="s">
        <v>56</v>
      </c>
      <c r="B19" t="s">
        <v>24</v>
      </c>
      <c r="C19" t="s">
        <v>57</v>
      </c>
      <c r="D19">
        <v>797112</v>
      </c>
      <c r="E19" t="s">
        <v>32</v>
      </c>
      <c r="F19" t="s">
        <v>58</v>
      </c>
      <c r="G19" t="s">
        <v>59</v>
      </c>
      <c r="H19">
        <f>91-3862-248181</f>
        <v>-251952</v>
      </c>
      <c r="I19" t="s">
        <v>28</v>
      </c>
      <c r="J19" t="s">
        <v>66</v>
      </c>
      <c r="K19" t="s">
        <v>15</v>
      </c>
      <c r="L19" t="s">
        <v>18</v>
      </c>
      <c r="M19" t="s">
        <v>64</v>
      </c>
      <c r="N19" t="s">
        <v>25</v>
      </c>
      <c r="O19" t="s">
        <v>17</v>
      </c>
    </row>
    <row r="20" spans="1:15" x14ac:dyDescent="0.3">
      <c r="A20" t="s">
        <v>56</v>
      </c>
      <c r="B20" t="s">
        <v>24</v>
      </c>
      <c r="C20" t="s">
        <v>57</v>
      </c>
      <c r="D20">
        <v>797112</v>
      </c>
      <c r="E20" t="s">
        <v>32</v>
      </c>
      <c r="F20" t="s">
        <v>58</v>
      </c>
      <c r="G20" t="s">
        <v>59</v>
      </c>
      <c r="H20">
        <f>91-3862-248181</f>
        <v>-251952</v>
      </c>
      <c r="I20" t="s">
        <v>28</v>
      </c>
      <c r="J20" t="s">
        <v>46</v>
      </c>
      <c r="K20" t="s">
        <v>19</v>
      </c>
      <c r="L20" t="s">
        <v>20</v>
      </c>
      <c r="M20" t="s">
        <v>67</v>
      </c>
      <c r="N20" t="s">
        <v>68</v>
      </c>
      <c r="O20">
        <v>60</v>
      </c>
    </row>
    <row r="21" spans="1:15" x14ac:dyDescent="0.3">
      <c r="A21" t="s">
        <v>56</v>
      </c>
      <c r="B21" t="s">
        <v>24</v>
      </c>
      <c r="C21" t="s">
        <v>57</v>
      </c>
      <c r="D21">
        <v>797112</v>
      </c>
      <c r="E21" t="s">
        <v>32</v>
      </c>
      <c r="F21" t="s">
        <v>58</v>
      </c>
      <c r="G21" t="s">
        <v>59</v>
      </c>
      <c r="H21">
        <f>91-3862-248181</f>
        <v>-251952</v>
      </c>
      <c r="I21" t="s">
        <v>28</v>
      </c>
      <c r="J21" t="s">
        <v>49</v>
      </c>
      <c r="K21" t="s">
        <v>19</v>
      </c>
      <c r="L21" t="s">
        <v>20</v>
      </c>
      <c r="M21" t="s">
        <v>69</v>
      </c>
      <c r="N21" t="s">
        <v>25</v>
      </c>
      <c r="O21" t="s">
        <v>17</v>
      </c>
    </row>
    <row r="22" spans="1:15" x14ac:dyDescent="0.3">
      <c r="A22" t="s">
        <v>56</v>
      </c>
      <c r="B22" t="s">
        <v>24</v>
      </c>
      <c r="C22" t="s">
        <v>57</v>
      </c>
      <c r="D22">
        <v>797112</v>
      </c>
      <c r="E22" t="s">
        <v>32</v>
      </c>
      <c r="F22" t="s">
        <v>58</v>
      </c>
      <c r="G22" t="s">
        <v>59</v>
      </c>
      <c r="H22">
        <f>91-3862-248181</f>
        <v>-251952</v>
      </c>
      <c r="I22" t="s">
        <v>28</v>
      </c>
      <c r="J22" t="s">
        <v>70</v>
      </c>
      <c r="K22" t="s">
        <v>19</v>
      </c>
      <c r="L22" t="s">
        <v>20</v>
      </c>
      <c r="M22" t="s">
        <v>64</v>
      </c>
      <c r="N22" t="s">
        <v>25</v>
      </c>
      <c r="O22" t="s">
        <v>17</v>
      </c>
    </row>
    <row r="23" spans="1:15" x14ac:dyDescent="0.3">
      <c r="A23" t="s">
        <v>56</v>
      </c>
      <c r="B23" t="s">
        <v>24</v>
      </c>
      <c r="C23" t="s">
        <v>57</v>
      </c>
      <c r="D23">
        <v>797112</v>
      </c>
      <c r="E23" t="s">
        <v>32</v>
      </c>
      <c r="F23" t="s">
        <v>58</v>
      </c>
      <c r="G23" t="s">
        <v>59</v>
      </c>
      <c r="H23">
        <f>91-3862-248181</f>
        <v>-251952</v>
      </c>
      <c r="I23" t="s">
        <v>28</v>
      </c>
      <c r="J23" t="s">
        <v>71</v>
      </c>
      <c r="K23" t="s">
        <v>19</v>
      </c>
      <c r="L23" t="s">
        <v>20</v>
      </c>
      <c r="M23" t="s">
        <v>72</v>
      </c>
      <c r="N23" t="s">
        <v>25</v>
      </c>
      <c r="O23" t="s">
        <v>17</v>
      </c>
    </row>
    <row r="24" spans="1:15" x14ac:dyDescent="0.3">
      <c r="A24" t="s">
        <v>56</v>
      </c>
      <c r="B24" t="s">
        <v>24</v>
      </c>
      <c r="C24" t="s">
        <v>57</v>
      </c>
      <c r="D24">
        <v>797112</v>
      </c>
      <c r="E24" t="s">
        <v>32</v>
      </c>
      <c r="F24" t="s">
        <v>58</v>
      </c>
      <c r="G24" t="s">
        <v>59</v>
      </c>
      <c r="H24">
        <f>91-3862-248181</f>
        <v>-251952</v>
      </c>
      <c r="I24" t="s">
        <v>28</v>
      </c>
      <c r="J24" t="s">
        <v>52</v>
      </c>
      <c r="K24" t="s">
        <v>19</v>
      </c>
      <c r="L24" t="s">
        <v>20</v>
      </c>
      <c r="M24" t="s">
        <v>64</v>
      </c>
      <c r="N24" t="s">
        <v>25</v>
      </c>
      <c r="O24" t="s">
        <v>17</v>
      </c>
    </row>
    <row r="25" spans="1:15" x14ac:dyDescent="0.3">
      <c r="A25" t="s">
        <v>56</v>
      </c>
      <c r="B25" t="s">
        <v>24</v>
      </c>
      <c r="C25" t="s">
        <v>57</v>
      </c>
      <c r="D25">
        <v>797112</v>
      </c>
      <c r="E25" t="s">
        <v>32</v>
      </c>
      <c r="F25" t="s">
        <v>58</v>
      </c>
      <c r="G25" t="s">
        <v>59</v>
      </c>
      <c r="H25">
        <f>91-3862-248181</f>
        <v>-251952</v>
      </c>
      <c r="I25" t="s">
        <v>28</v>
      </c>
      <c r="J25" t="s">
        <v>26</v>
      </c>
      <c r="K25" t="s">
        <v>23</v>
      </c>
      <c r="L25" t="s">
        <v>21</v>
      </c>
      <c r="M25" t="s">
        <v>73</v>
      </c>
      <c r="N25" t="s">
        <v>25</v>
      </c>
      <c r="O25" t="s">
        <v>17</v>
      </c>
    </row>
    <row r="26" spans="1:15" x14ac:dyDescent="0.3">
      <c r="A26" t="s">
        <v>56</v>
      </c>
      <c r="B26" t="s">
        <v>24</v>
      </c>
      <c r="C26" t="s">
        <v>57</v>
      </c>
      <c r="D26">
        <v>797112</v>
      </c>
      <c r="E26" t="s">
        <v>32</v>
      </c>
      <c r="F26" t="s">
        <v>58</v>
      </c>
      <c r="G26" t="s">
        <v>59</v>
      </c>
      <c r="H26">
        <f>91-3862-248181</f>
        <v>-251952</v>
      </c>
      <c r="I26" t="s">
        <v>28</v>
      </c>
      <c r="J26" t="s">
        <v>74</v>
      </c>
      <c r="K26" t="s">
        <v>22</v>
      </c>
      <c r="L26" t="s">
        <v>54</v>
      </c>
      <c r="M26" t="s">
        <v>17</v>
      </c>
      <c r="N26" t="s">
        <v>75</v>
      </c>
      <c r="O26" t="s">
        <v>17</v>
      </c>
    </row>
    <row r="27" spans="1:15" x14ac:dyDescent="0.3">
      <c r="A27" t="s">
        <v>76</v>
      </c>
      <c r="B27" t="s">
        <v>24</v>
      </c>
      <c r="C27" t="s">
        <v>77</v>
      </c>
      <c r="D27">
        <v>797115</v>
      </c>
      <c r="E27" t="s">
        <v>32</v>
      </c>
      <c r="F27" t="s">
        <v>78</v>
      </c>
      <c r="G27" t="s">
        <v>79</v>
      </c>
      <c r="H27">
        <f>91-3862-245399</f>
        <v>-249170</v>
      </c>
      <c r="I27" t="s">
        <v>80</v>
      </c>
      <c r="J27" t="s">
        <v>39</v>
      </c>
      <c r="K27" t="s">
        <v>15</v>
      </c>
      <c r="L27" t="s">
        <v>18</v>
      </c>
      <c r="M27" t="s">
        <v>69</v>
      </c>
      <c r="N27" t="s">
        <v>25</v>
      </c>
      <c r="O27">
        <v>60</v>
      </c>
    </row>
    <row r="28" spans="1:15" x14ac:dyDescent="0.3">
      <c r="A28" t="s">
        <v>76</v>
      </c>
      <c r="B28" t="s">
        <v>24</v>
      </c>
      <c r="C28" t="s">
        <v>77</v>
      </c>
      <c r="D28">
        <v>797115</v>
      </c>
      <c r="E28" t="s">
        <v>32</v>
      </c>
      <c r="F28" t="s">
        <v>78</v>
      </c>
      <c r="G28" t="s">
        <v>79</v>
      </c>
      <c r="H28">
        <f>91-3862-245399</f>
        <v>-249170</v>
      </c>
      <c r="I28" t="s">
        <v>80</v>
      </c>
      <c r="J28" t="s">
        <v>41</v>
      </c>
      <c r="K28" t="s">
        <v>15</v>
      </c>
      <c r="L28" t="s">
        <v>18</v>
      </c>
      <c r="M28" t="s">
        <v>69</v>
      </c>
      <c r="N28" t="s">
        <v>25</v>
      </c>
      <c r="O28">
        <v>60</v>
      </c>
    </row>
    <row r="29" spans="1:15" x14ac:dyDescent="0.3">
      <c r="A29" t="s">
        <v>76</v>
      </c>
      <c r="B29" t="s">
        <v>24</v>
      </c>
      <c r="C29" t="s">
        <v>77</v>
      </c>
      <c r="D29">
        <v>797115</v>
      </c>
      <c r="E29" t="s">
        <v>32</v>
      </c>
      <c r="F29" t="s">
        <v>78</v>
      </c>
      <c r="G29" t="s">
        <v>79</v>
      </c>
      <c r="H29">
        <f>91-3862-245399</f>
        <v>-249170</v>
      </c>
      <c r="I29" t="s">
        <v>80</v>
      </c>
      <c r="J29" t="s">
        <v>42</v>
      </c>
      <c r="K29" t="s">
        <v>15</v>
      </c>
      <c r="L29" t="s">
        <v>18</v>
      </c>
      <c r="M29" t="s">
        <v>43</v>
      </c>
      <c r="N29" t="s">
        <v>25</v>
      </c>
      <c r="O29" t="s">
        <v>17</v>
      </c>
    </row>
    <row r="30" spans="1:15" x14ac:dyDescent="0.3">
      <c r="A30" t="s">
        <v>76</v>
      </c>
      <c r="B30" t="s">
        <v>24</v>
      </c>
      <c r="C30" t="s">
        <v>77</v>
      </c>
      <c r="D30">
        <v>797115</v>
      </c>
      <c r="E30" t="s">
        <v>32</v>
      </c>
      <c r="F30" t="s">
        <v>78</v>
      </c>
      <c r="G30" t="s">
        <v>79</v>
      </c>
      <c r="H30">
        <f>91-3862-245399</f>
        <v>-249170</v>
      </c>
      <c r="I30" t="s">
        <v>80</v>
      </c>
      <c r="J30" t="s">
        <v>81</v>
      </c>
      <c r="K30" t="s">
        <v>15</v>
      </c>
      <c r="L30" t="s">
        <v>18</v>
      </c>
      <c r="M30" t="s">
        <v>82</v>
      </c>
      <c r="N30" t="s">
        <v>25</v>
      </c>
      <c r="O30" t="s">
        <v>17</v>
      </c>
    </row>
    <row r="31" spans="1:15" x14ac:dyDescent="0.3">
      <c r="A31" t="s">
        <v>76</v>
      </c>
      <c r="B31" t="s">
        <v>24</v>
      </c>
      <c r="C31" t="s">
        <v>77</v>
      </c>
      <c r="D31">
        <v>797115</v>
      </c>
      <c r="E31" t="s">
        <v>32</v>
      </c>
      <c r="F31" t="s">
        <v>78</v>
      </c>
      <c r="G31" t="s">
        <v>79</v>
      </c>
      <c r="H31">
        <f>91-3862-245399</f>
        <v>-249170</v>
      </c>
      <c r="I31" t="s">
        <v>80</v>
      </c>
      <c r="J31" t="s">
        <v>83</v>
      </c>
      <c r="K31" t="s">
        <v>15</v>
      </c>
      <c r="L31" t="s">
        <v>18</v>
      </c>
      <c r="M31" t="s">
        <v>72</v>
      </c>
      <c r="N31" t="s">
        <v>25</v>
      </c>
      <c r="O31" t="s">
        <v>17</v>
      </c>
    </row>
    <row r="32" spans="1:15" x14ac:dyDescent="0.3">
      <c r="A32" t="s">
        <v>76</v>
      </c>
      <c r="B32" t="s">
        <v>24</v>
      </c>
      <c r="C32" t="s">
        <v>77</v>
      </c>
      <c r="D32">
        <v>797115</v>
      </c>
      <c r="E32" t="s">
        <v>32</v>
      </c>
      <c r="F32" t="s">
        <v>78</v>
      </c>
      <c r="G32" t="s">
        <v>79</v>
      </c>
      <c r="H32">
        <f>91-3862-245399</f>
        <v>-249170</v>
      </c>
      <c r="I32" t="s">
        <v>80</v>
      </c>
      <c r="J32" t="s">
        <v>84</v>
      </c>
      <c r="K32" t="s">
        <v>15</v>
      </c>
      <c r="L32" t="s">
        <v>18</v>
      </c>
      <c r="M32" t="s">
        <v>82</v>
      </c>
      <c r="N32" t="s">
        <v>25</v>
      </c>
      <c r="O32" t="s">
        <v>17</v>
      </c>
    </row>
    <row r="33" spans="1:15" x14ac:dyDescent="0.3">
      <c r="A33" t="s">
        <v>76</v>
      </c>
      <c r="B33" t="s">
        <v>24</v>
      </c>
      <c r="C33" t="s">
        <v>77</v>
      </c>
      <c r="D33">
        <v>797115</v>
      </c>
      <c r="E33" t="s">
        <v>32</v>
      </c>
      <c r="F33" t="s">
        <v>78</v>
      </c>
      <c r="G33" t="s">
        <v>79</v>
      </c>
      <c r="H33">
        <f>91-3862-245399</f>
        <v>-249170</v>
      </c>
      <c r="I33" t="s">
        <v>80</v>
      </c>
      <c r="J33" t="s">
        <v>85</v>
      </c>
      <c r="K33" t="s">
        <v>15</v>
      </c>
      <c r="L33" t="s">
        <v>21</v>
      </c>
      <c r="M33" t="s">
        <v>86</v>
      </c>
      <c r="N33" t="s">
        <v>25</v>
      </c>
      <c r="O33" t="s">
        <v>17</v>
      </c>
    </row>
    <row r="34" spans="1:15" x14ac:dyDescent="0.3">
      <c r="A34" t="s">
        <v>76</v>
      </c>
      <c r="B34" t="s">
        <v>24</v>
      </c>
      <c r="C34" t="s">
        <v>77</v>
      </c>
      <c r="D34">
        <v>797115</v>
      </c>
      <c r="E34" t="s">
        <v>32</v>
      </c>
      <c r="F34" t="s">
        <v>78</v>
      </c>
      <c r="G34" t="s">
        <v>79</v>
      </c>
      <c r="H34">
        <f>91-3862-245399</f>
        <v>-249170</v>
      </c>
      <c r="I34" t="s">
        <v>80</v>
      </c>
      <c r="J34" t="s">
        <v>46</v>
      </c>
      <c r="K34" t="s">
        <v>19</v>
      </c>
      <c r="L34" t="s">
        <v>20</v>
      </c>
      <c r="M34" t="s">
        <v>87</v>
      </c>
      <c r="N34" t="s">
        <v>88</v>
      </c>
      <c r="O34">
        <v>60</v>
      </c>
    </row>
    <row r="35" spans="1:15" x14ac:dyDescent="0.3">
      <c r="A35" t="s">
        <v>76</v>
      </c>
      <c r="B35" t="s">
        <v>24</v>
      </c>
      <c r="C35" t="s">
        <v>77</v>
      </c>
      <c r="D35">
        <v>797115</v>
      </c>
      <c r="E35" t="s">
        <v>32</v>
      </c>
      <c r="F35" t="s">
        <v>78</v>
      </c>
      <c r="G35" t="s">
        <v>79</v>
      </c>
      <c r="H35">
        <f>91-3862-245399</f>
        <v>-249170</v>
      </c>
      <c r="I35" t="s">
        <v>80</v>
      </c>
      <c r="J35" t="s">
        <v>49</v>
      </c>
      <c r="K35" t="s">
        <v>19</v>
      </c>
      <c r="L35" t="s">
        <v>20</v>
      </c>
      <c r="M35" t="s">
        <v>89</v>
      </c>
      <c r="N35" t="s">
        <v>25</v>
      </c>
      <c r="O35" t="s">
        <v>17</v>
      </c>
    </row>
    <row r="36" spans="1:15" x14ac:dyDescent="0.3">
      <c r="A36" t="s">
        <v>76</v>
      </c>
      <c r="B36" t="s">
        <v>24</v>
      </c>
      <c r="C36" t="s">
        <v>77</v>
      </c>
      <c r="D36">
        <v>797115</v>
      </c>
      <c r="E36" t="s">
        <v>32</v>
      </c>
      <c r="F36" t="s">
        <v>78</v>
      </c>
      <c r="G36" t="s">
        <v>79</v>
      </c>
      <c r="H36">
        <f>91-3862-245399</f>
        <v>-249170</v>
      </c>
      <c r="I36" t="s">
        <v>80</v>
      </c>
      <c r="J36" t="s">
        <v>90</v>
      </c>
      <c r="K36" t="s">
        <v>19</v>
      </c>
      <c r="L36" t="s">
        <v>20</v>
      </c>
      <c r="M36" t="s">
        <v>43</v>
      </c>
      <c r="N36" t="s">
        <v>25</v>
      </c>
      <c r="O36" t="s">
        <v>17</v>
      </c>
    </row>
    <row r="37" spans="1:15" x14ac:dyDescent="0.3">
      <c r="A37" t="s">
        <v>76</v>
      </c>
      <c r="B37" t="s">
        <v>24</v>
      </c>
      <c r="C37" t="s">
        <v>77</v>
      </c>
      <c r="D37">
        <v>797115</v>
      </c>
      <c r="E37" t="s">
        <v>32</v>
      </c>
      <c r="F37" t="s">
        <v>78</v>
      </c>
      <c r="G37" t="s">
        <v>79</v>
      </c>
      <c r="H37">
        <f>91-3862-245399</f>
        <v>-249170</v>
      </c>
      <c r="I37" t="s">
        <v>80</v>
      </c>
      <c r="J37" t="s">
        <v>91</v>
      </c>
      <c r="K37" t="s">
        <v>19</v>
      </c>
      <c r="L37" t="s">
        <v>20</v>
      </c>
      <c r="M37" t="s">
        <v>63</v>
      </c>
      <c r="N37" t="s">
        <v>25</v>
      </c>
      <c r="O37" t="s">
        <v>17</v>
      </c>
    </row>
    <row r="38" spans="1:15" x14ac:dyDescent="0.3">
      <c r="A38" t="s">
        <v>76</v>
      </c>
      <c r="B38" t="s">
        <v>24</v>
      </c>
      <c r="C38" t="s">
        <v>77</v>
      </c>
      <c r="D38">
        <v>797115</v>
      </c>
      <c r="E38" t="s">
        <v>32</v>
      </c>
      <c r="F38" t="s">
        <v>78</v>
      </c>
      <c r="G38" t="s">
        <v>79</v>
      </c>
      <c r="H38">
        <f>91-3862-245399</f>
        <v>-249170</v>
      </c>
      <c r="I38" t="s">
        <v>80</v>
      </c>
      <c r="J38" t="s">
        <v>52</v>
      </c>
      <c r="K38" t="s">
        <v>19</v>
      </c>
      <c r="L38" t="s">
        <v>20</v>
      </c>
      <c r="M38" t="s">
        <v>43</v>
      </c>
      <c r="N38" t="s">
        <v>25</v>
      </c>
      <c r="O38" t="s">
        <v>17</v>
      </c>
    </row>
    <row r="39" spans="1:15" x14ac:dyDescent="0.3">
      <c r="A39" t="s">
        <v>76</v>
      </c>
      <c r="B39" t="s">
        <v>24</v>
      </c>
      <c r="C39" t="s">
        <v>77</v>
      </c>
      <c r="D39">
        <v>797115</v>
      </c>
      <c r="E39" t="s">
        <v>32</v>
      </c>
      <c r="F39" t="s">
        <v>78</v>
      </c>
      <c r="G39" t="s">
        <v>79</v>
      </c>
      <c r="H39">
        <f>91-3862-245399</f>
        <v>-249170</v>
      </c>
      <c r="I39" t="s">
        <v>80</v>
      </c>
      <c r="J39" t="s">
        <v>92</v>
      </c>
      <c r="K39" t="s">
        <v>19</v>
      </c>
      <c r="L39" t="s">
        <v>20</v>
      </c>
      <c r="M39" t="s">
        <v>43</v>
      </c>
      <c r="N39" t="s">
        <v>25</v>
      </c>
      <c r="O39" t="s">
        <v>17</v>
      </c>
    </row>
    <row r="40" spans="1:15" x14ac:dyDescent="0.3">
      <c r="A40" t="s">
        <v>76</v>
      </c>
      <c r="B40" t="s">
        <v>24</v>
      </c>
      <c r="C40" t="s">
        <v>77</v>
      </c>
      <c r="D40">
        <v>797115</v>
      </c>
      <c r="E40" t="s">
        <v>32</v>
      </c>
      <c r="F40" t="s">
        <v>78</v>
      </c>
      <c r="G40" t="s">
        <v>79</v>
      </c>
      <c r="H40">
        <f>91-3862-245399</f>
        <v>-249170</v>
      </c>
      <c r="I40" t="s">
        <v>80</v>
      </c>
      <c r="J40" t="s">
        <v>93</v>
      </c>
      <c r="K40" t="s">
        <v>19</v>
      </c>
      <c r="L40" t="s">
        <v>21</v>
      </c>
      <c r="M40" t="s">
        <v>94</v>
      </c>
      <c r="N40" t="s">
        <v>25</v>
      </c>
      <c r="O40" t="s">
        <v>17</v>
      </c>
    </row>
    <row r="41" spans="1:15" x14ac:dyDescent="0.3">
      <c r="A41" t="s">
        <v>76</v>
      </c>
      <c r="B41" t="s">
        <v>24</v>
      </c>
      <c r="C41" t="s">
        <v>77</v>
      </c>
      <c r="D41">
        <v>797115</v>
      </c>
      <c r="E41" t="s">
        <v>32</v>
      </c>
      <c r="F41" t="s">
        <v>78</v>
      </c>
      <c r="G41" t="s">
        <v>79</v>
      </c>
      <c r="H41">
        <f>91-3862-245399</f>
        <v>-249170</v>
      </c>
      <c r="I41" t="s">
        <v>80</v>
      </c>
      <c r="J41" t="s">
        <v>26</v>
      </c>
      <c r="K41" t="s">
        <v>23</v>
      </c>
      <c r="L41" t="s">
        <v>21</v>
      </c>
      <c r="M41" t="s">
        <v>95</v>
      </c>
      <c r="N41" t="s">
        <v>25</v>
      </c>
      <c r="O41" t="s">
        <v>17</v>
      </c>
    </row>
    <row r="42" spans="1:15" x14ac:dyDescent="0.3">
      <c r="A42" t="s">
        <v>76</v>
      </c>
      <c r="B42" t="s">
        <v>24</v>
      </c>
      <c r="C42" t="s">
        <v>77</v>
      </c>
      <c r="D42">
        <v>797115</v>
      </c>
      <c r="E42" t="s">
        <v>32</v>
      </c>
      <c r="F42" t="s">
        <v>78</v>
      </c>
      <c r="G42" t="s">
        <v>79</v>
      </c>
      <c r="H42">
        <f>91-3862-245399</f>
        <v>-249170</v>
      </c>
      <c r="I42" t="s">
        <v>80</v>
      </c>
      <c r="J42" t="s">
        <v>96</v>
      </c>
      <c r="K42" t="s">
        <v>23</v>
      </c>
      <c r="L42" t="s">
        <v>21</v>
      </c>
      <c r="M42" t="s">
        <v>95</v>
      </c>
      <c r="N42" t="s">
        <v>25</v>
      </c>
      <c r="O42" t="s">
        <v>17</v>
      </c>
    </row>
    <row r="43" spans="1:15" x14ac:dyDescent="0.3">
      <c r="A43" t="s">
        <v>76</v>
      </c>
      <c r="B43" t="s">
        <v>24</v>
      </c>
      <c r="C43" t="s">
        <v>77</v>
      </c>
      <c r="D43">
        <v>797115</v>
      </c>
      <c r="E43" t="s">
        <v>32</v>
      </c>
      <c r="F43" t="s">
        <v>78</v>
      </c>
      <c r="G43" t="s">
        <v>79</v>
      </c>
      <c r="H43">
        <f>91-3862-245399</f>
        <v>-249170</v>
      </c>
      <c r="I43" t="s">
        <v>80</v>
      </c>
      <c r="J43" t="s">
        <v>97</v>
      </c>
      <c r="K43" t="s">
        <v>29</v>
      </c>
      <c r="L43" t="s">
        <v>21</v>
      </c>
      <c r="M43" t="s">
        <v>98</v>
      </c>
      <c r="N43" t="s">
        <v>25</v>
      </c>
      <c r="O43" t="s">
        <v>17</v>
      </c>
    </row>
    <row r="44" spans="1:15" x14ac:dyDescent="0.3">
      <c r="A44" t="s">
        <v>76</v>
      </c>
      <c r="B44" t="s">
        <v>24</v>
      </c>
      <c r="C44" t="s">
        <v>77</v>
      </c>
      <c r="D44">
        <v>797115</v>
      </c>
      <c r="E44" t="s">
        <v>32</v>
      </c>
      <c r="F44" t="s">
        <v>78</v>
      </c>
      <c r="G44" t="s">
        <v>79</v>
      </c>
      <c r="H44">
        <f>91-3862-245399</f>
        <v>-249170</v>
      </c>
      <c r="I44" t="s">
        <v>80</v>
      </c>
      <c r="J44" t="s">
        <v>99</v>
      </c>
      <c r="K44" t="s">
        <v>22</v>
      </c>
      <c r="L44" t="s">
        <v>54</v>
      </c>
      <c r="M44" t="s">
        <v>100</v>
      </c>
      <c r="N44" t="s">
        <v>75</v>
      </c>
      <c r="O44" t="s">
        <v>17</v>
      </c>
    </row>
    <row r="45" spans="1:15" x14ac:dyDescent="0.3">
      <c r="A45" t="s">
        <v>101</v>
      </c>
      <c r="B45" t="s">
        <v>24</v>
      </c>
      <c r="C45" t="s">
        <v>102</v>
      </c>
      <c r="D45">
        <v>797115</v>
      </c>
      <c r="E45" t="s">
        <v>32</v>
      </c>
      <c r="F45" t="s">
        <v>103</v>
      </c>
      <c r="G45" t="s">
        <v>104</v>
      </c>
      <c r="H45">
        <f>91-3862-248121</f>
        <v>-251892</v>
      </c>
      <c r="I45" t="s">
        <v>105</v>
      </c>
      <c r="J45" t="s">
        <v>65</v>
      </c>
      <c r="K45" t="s">
        <v>15</v>
      </c>
      <c r="L45" t="s">
        <v>18</v>
      </c>
      <c r="M45" t="s">
        <v>106</v>
      </c>
      <c r="N45" t="s">
        <v>25</v>
      </c>
      <c r="O45" t="s">
        <v>17</v>
      </c>
    </row>
    <row r="46" spans="1:15" x14ac:dyDescent="0.3">
      <c r="A46" t="s">
        <v>101</v>
      </c>
      <c r="B46" t="s">
        <v>24</v>
      </c>
      <c r="C46" t="s">
        <v>102</v>
      </c>
      <c r="D46">
        <v>797115</v>
      </c>
      <c r="E46" t="s">
        <v>32</v>
      </c>
      <c r="F46" t="s">
        <v>103</v>
      </c>
      <c r="G46" t="s">
        <v>104</v>
      </c>
      <c r="H46">
        <f>91-3862-248121</f>
        <v>-251892</v>
      </c>
      <c r="I46" t="s">
        <v>105</v>
      </c>
      <c r="J46" t="s">
        <v>42</v>
      </c>
      <c r="K46" t="s">
        <v>15</v>
      </c>
      <c r="L46" t="s">
        <v>18</v>
      </c>
      <c r="M46" t="s">
        <v>106</v>
      </c>
      <c r="N46" t="s">
        <v>25</v>
      </c>
      <c r="O46" t="s">
        <v>17</v>
      </c>
    </row>
    <row r="47" spans="1:15" x14ac:dyDescent="0.3">
      <c r="A47" t="s">
        <v>101</v>
      </c>
      <c r="B47" t="s">
        <v>24</v>
      </c>
      <c r="C47" t="s">
        <v>102</v>
      </c>
      <c r="D47">
        <v>797115</v>
      </c>
      <c r="E47" t="s">
        <v>32</v>
      </c>
      <c r="F47" t="s">
        <v>103</v>
      </c>
      <c r="G47" t="s">
        <v>104</v>
      </c>
      <c r="H47">
        <f>91-3862-248121</f>
        <v>-251892</v>
      </c>
      <c r="I47" t="s">
        <v>105</v>
      </c>
      <c r="J47" t="s">
        <v>39</v>
      </c>
      <c r="K47" t="s">
        <v>15</v>
      </c>
      <c r="L47" t="s">
        <v>18</v>
      </c>
      <c r="M47" t="s">
        <v>107</v>
      </c>
      <c r="N47" t="s">
        <v>25</v>
      </c>
      <c r="O47" t="s">
        <v>17</v>
      </c>
    </row>
    <row r="48" spans="1:15" x14ac:dyDescent="0.3">
      <c r="A48" t="s">
        <v>101</v>
      </c>
      <c r="B48" t="s">
        <v>24</v>
      </c>
      <c r="C48" t="s">
        <v>102</v>
      </c>
      <c r="D48">
        <v>797115</v>
      </c>
      <c r="E48" t="s">
        <v>32</v>
      </c>
      <c r="F48" t="s">
        <v>103</v>
      </c>
      <c r="G48" t="s">
        <v>104</v>
      </c>
      <c r="H48">
        <f>91-3862-248121</f>
        <v>-251892</v>
      </c>
      <c r="I48" t="s">
        <v>105</v>
      </c>
      <c r="J48" t="s">
        <v>41</v>
      </c>
      <c r="K48" t="s">
        <v>15</v>
      </c>
      <c r="L48" t="s">
        <v>18</v>
      </c>
      <c r="M48" t="s">
        <v>107</v>
      </c>
      <c r="N48" t="s">
        <v>25</v>
      </c>
      <c r="O48" t="s">
        <v>17</v>
      </c>
    </row>
    <row r="49" spans="1:15" x14ac:dyDescent="0.3">
      <c r="A49" t="s">
        <v>101</v>
      </c>
      <c r="B49" t="s">
        <v>24</v>
      </c>
      <c r="C49" t="s">
        <v>102</v>
      </c>
      <c r="D49">
        <v>797115</v>
      </c>
      <c r="E49" t="s">
        <v>32</v>
      </c>
      <c r="F49" t="s">
        <v>103</v>
      </c>
      <c r="G49" t="s">
        <v>104</v>
      </c>
      <c r="H49">
        <f>91-3862-248121</f>
        <v>-251892</v>
      </c>
      <c r="I49" t="s">
        <v>105</v>
      </c>
      <c r="J49" t="s">
        <v>90</v>
      </c>
      <c r="K49" t="s">
        <v>19</v>
      </c>
      <c r="L49" t="s">
        <v>20</v>
      </c>
      <c r="M49" t="s">
        <v>108</v>
      </c>
      <c r="N49" t="s">
        <v>25</v>
      </c>
      <c r="O49" t="s">
        <v>17</v>
      </c>
    </row>
    <row r="50" spans="1:15" x14ac:dyDescent="0.3">
      <c r="A50" t="s">
        <v>101</v>
      </c>
      <c r="B50" t="s">
        <v>24</v>
      </c>
      <c r="C50" t="s">
        <v>102</v>
      </c>
      <c r="D50">
        <v>797115</v>
      </c>
      <c r="E50" t="s">
        <v>32</v>
      </c>
      <c r="F50" t="s">
        <v>103</v>
      </c>
      <c r="G50" t="s">
        <v>104</v>
      </c>
      <c r="H50">
        <f>91-3862-248121</f>
        <v>-251892</v>
      </c>
      <c r="I50" t="s">
        <v>105</v>
      </c>
      <c r="J50" t="s">
        <v>52</v>
      </c>
      <c r="K50" t="s">
        <v>19</v>
      </c>
      <c r="L50" t="s">
        <v>20</v>
      </c>
      <c r="M50" t="s">
        <v>108</v>
      </c>
      <c r="N50" t="s">
        <v>25</v>
      </c>
      <c r="O50" t="s">
        <v>17</v>
      </c>
    </row>
    <row r="51" spans="1:15" x14ac:dyDescent="0.3">
      <c r="A51" t="s">
        <v>101</v>
      </c>
      <c r="B51" t="s">
        <v>24</v>
      </c>
      <c r="C51" t="s">
        <v>102</v>
      </c>
      <c r="D51">
        <v>797115</v>
      </c>
      <c r="E51" t="s">
        <v>32</v>
      </c>
      <c r="F51" t="s">
        <v>103</v>
      </c>
      <c r="G51" t="s">
        <v>104</v>
      </c>
      <c r="H51">
        <f>91-3862-248121</f>
        <v>-251892</v>
      </c>
      <c r="I51" t="s">
        <v>105</v>
      </c>
      <c r="J51" t="s">
        <v>46</v>
      </c>
      <c r="K51" t="s">
        <v>19</v>
      </c>
      <c r="L51" t="s">
        <v>20</v>
      </c>
      <c r="M51" t="s">
        <v>109</v>
      </c>
      <c r="N51" t="s">
        <v>25</v>
      </c>
      <c r="O51" t="s">
        <v>17</v>
      </c>
    </row>
    <row r="52" spans="1:15" x14ac:dyDescent="0.3">
      <c r="A52" t="s">
        <v>101</v>
      </c>
      <c r="B52" t="s">
        <v>24</v>
      </c>
      <c r="C52" t="s">
        <v>102</v>
      </c>
      <c r="D52">
        <v>797115</v>
      </c>
      <c r="E52" t="s">
        <v>32</v>
      </c>
      <c r="F52" t="s">
        <v>103</v>
      </c>
      <c r="G52" t="s">
        <v>104</v>
      </c>
      <c r="H52">
        <f>91-3862-248121</f>
        <v>-251892</v>
      </c>
      <c r="I52" t="s">
        <v>105</v>
      </c>
      <c r="J52" t="s">
        <v>49</v>
      </c>
      <c r="K52" t="s">
        <v>19</v>
      </c>
      <c r="L52" t="s">
        <v>20</v>
      </c>
      <c r="M52" t="s">
        <v>110</v>
      </c>
      <c r="N52" t="s">
        <v>25</v>
      </c>
      <c r="O52" t="s">
        <v>17</v>
      </c>
    </row>
    <row r="53" spans="1:15" x14ac:dyDescent="0.3">
      <c r="A53" t="s">
        <v>101</v>
      </c>
      <c r="B53" t="s">
        <v>24</v>
      </c>
      <c r="C53" t="s">
        <v>102</v>
      </c>
      <c r="D53">
        <v>797115</v>
      </c>
      <c r="E53" t="s">
        <v>32</v>
      </c>
      <c r="F53" t="s">
        <v>103</v>
      </c>
      <c r="G53" t="s">
        <v>104</v>
      </c>
      <c r="H53">
        <f>91-3862-248121</f>
        <v>-251892</v>
      </c>
      <c r="I53" t="s">
        <v>105</v>
      </c>
      <c r="J53" t="s">
        <v>111</v>
      </c>
      <c r="K53" t="s">
        <v>23</v>
      </c>
      <c r="L53" t="s">
        <v>21</v>
      </c>
      <c r="M53" t="s">
        <v>98</v>
      </c>
      <c r="N53" t="s">
        <v>25</v>
      </c>
      <c r="O53" t="s">
        <v>17</v>
      </c>
    </row>
    <row r="54" spans="1:15" x14ac:dyDescent="0.3">
      <c r="A54" t="s">
        <v>101</v>
      </c>
      <c r="B54" t="s">
        <v>24</v>
      </c>
      <c r="C54" t="s">
        <v>102</v>
      </c>
      <c r="D54">
        <v>797115</v>
      </c>
      <c r="E54" t="s">
        <v>32</v>
      </c>
      <c r="F54" t="s">
        <v>103</v>
      </c>
      <c r="G54" t="s">
        <v>104</v>
      </c>
      <c r="H54">
        <f>91-3862-248121</f>
        <v>-251892</v>
      </c>
      <c r="I54" t="s">
        <v>105</v>
      </c>
      <c r="J54" t="s">
        <v>26</v>
      </c>
      <c r="K54" t="s">
        <v>23</v>
      </c>
      <c r="L54" t="s">
        <v>21</v>
      </c>
      <c r="M54" t="s">
        <v>98</v>
      </c>
      <c r="N54" t="s">
        <v>25</v>
      </c>
      <c r="O54" t="s">
        <v>17</v>
      </c>
    </row>
    <row r="55" spans="1:15" x14ac:dyDescent="0.3">
      <c r="A55" t="s">
        <v>101</v>
      </c>
      <c r="B55" t="s">
        <v>24</v>
      </c>
      <c r="C55" t="s">
        <v>102</v>
      </c>
      <c r="D55">
        <v>797115</v>
      </c>
      <c r="E55" t="s">
        <v>32</v>
      </c>
      <c r="F55" t="s">
        <v>103</v>
      </c>
      <c r="G55" t="s">
        <v>104</v>
      </c>
      <c r="H55">
        <f>91-3862-248121</f>
        <v>-251892</v>
      </c>
      <c r="I55" t="s">
        <v>105</v>
      </c>
      <c r="J55" t="s">
        <v>97</v>
      </c>
      <c r="K55" t="s">
        <v>29</v>
      </c>
      <c r="L55" t="s">
        <v>21</v>
      </c>
      <c r="M55" t="s">
        <v>112</v>
      </c>
      <c r="N55" t="s">
        <v>25</v>
      </c>
      <c r="O55" t="s">
        <v>17</v>
      </c>
    </row>
    <row r="56" spans="1:15" x14ac:dyDescent="0.3">
      <c r="A56" t="s">
        <v>101</v>
      </c>
      <c r="B56" t="s">
        <v>24</v>
      </c>
      <c r="C56" t="s">
        <v>102</v>
      </c>
      <c r="D56">
        <v>797115</v>
      </c>
      <c r="E56" t="s">
        <v>32</v>
      </c>
      <c r="F56" t="s">
        <v>103</v>
      </c>
      <c r="G56" t="s">
        <v>104</v>
      </c>
      <c r="H56">
        <f>91-3862-248121</f>
        <v>-251892</v>
      </c>
      <c r="I56" t="s">
        <v>105</v>
      </c>
      <c r="J56" t="s">
        <v>113</v>
      </c>
      <c r="K56" t="s">
        <v>114</v>
      </c>
      <c r="L56" t="s">
        <v>115</v>
      </c>
      <c r="M56" t="s">
        <v>116</v>
      </c>
      <c r="N56" t="s">
        <v>25</v>
      </c>
      <c r="O5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Sheet2!Tripura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danyansari987@gmail.com</cp:lastModifiedBy>
  <dcterms:created xsi:type="dcterms:W3CDTF">2026-04-24T04:18:07Z</dcterms:created>
  <dcterms:modified xsi:type="dcterms:W3CDTF">2026-04-24T04:51:26Z</dcterms:modified>
</cp:coreProperties>
</file>